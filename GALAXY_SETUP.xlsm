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9" firstSheet="0" activeTab="0"/>
  </bookViews>
  <sheets>
    <sheet name="STARS" sheetId="1" state="visible" r:id="rId2"/>
    <sheet name="Munkalap2" sheetId="2" state="visible" r:id="rId3"/>
    <sheet name="Munkalap3" sheetId="3" state="visible" r:id="rId4"/>
    <sheet name="Munkalap4" sheetId="4" state="visible" r:id="rId5"/>
    <sheet name="Munkalap5" sheetId="5" state="visible" r:id="rId6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<sst xmlns="http://schemas.openxmlformats.org/spreadsheetml/2006/main" count="56" uniqueCount="49">
  <si>
    <t xml:space="preserve">STAR_TYPE</t>
  </si>
  <si>
    <t xml:space="preserve">EFF_TEMP</t>
  </si>
  <si>
    <t xml:space="preserve">CHROMACITY</t>
  </si>
  <si>
    <t xml:space="preserve">MASS (in sol mass)</t>
  </si>
  <si>
    <t xml:space="preserve">Radius (in sol.rad.)</t>
  </si>
  <si>
    <t xml:space="preserve">Luminosity</t>
  </si>
  <si>
    <t xml:space="preserve">FREQUENCY</t>
  </si>
  <si>
    <t xml:space="preserve">O</t>
  </si>
  <si>
    <t xml:space="preserve">30 – 65 KK</t>
  </si>
  <si>
    <t xml:space="preserve">Blue</t>
  </si>
  <si>
    <t xml:space="preserve">16 – 30 SM</t>
  </si>
  <si>
    <t xml:space="preserve">6,6 – 12,5 SR</t>
  </si>
  <si>
    <t xml:space="preserve">30 – 60 KL</t>
  </si>
  <si>
    <t xml:space="preserve">B</t>
  </si>
  <si>
    <t xml:space="preserve">10 – 30 KK</t>
  </si>
  <si>
    <t xml:space="preserve">Deep blue white</t>
  </si>
  <si>
    <t xml:space="preserve">2,1 – 16 SM</t>
  </si>
  <si>
    <t xml:space="preserve">1,8 – 6,6 SM</t>
  </si>
  <si>
    <t xml:space="preserve">25 – 30 KL</t>
  </si>
  <si>
    <t xml:space="preserve">A</t>
  </si>
  <si>
    <t xml:space="preserve">7,5 – 10 KK</t>
  </si>
  <si>
    <t xml:space="preserve">Blue white</t>
  </si>
  <si>
    <t xml:space="preserve">1,4 – 2,1 SM</t>
  </si>
  <si>
    <t xml:space="preserve">1,4 – 1,8 SR</t>
  </si>
  <si>
    <t xml:space="preserve">5 – 25 KL</t>
  </si>
  <si>
    <t xml:space="preserve">F</t>
  </si>
  <si>
    <t xml:space="preserve">6 – 7,5 KK</t>
  </si>
  <si>
    <t xml:space="preserve">White</t>
  </si>
  <si>
    <t xml:space="preserve">1,04 – 1,4 SM</t>
  </si>
  <si>
    <t xml:space="preserve">1,15 – 1,4 SR</t>
  </si>
  <si>
    <t xml:space="preserve">1,5 – 5 KL</t>
  </si>
  <si>
    <t xml:space="preserve">G</t>
  </si>
  <si>
    <t xml:space="preserve">5,2 – 6 KK</t>
  </si>
  <si>
    <t xml:space="preserve">Yellow</t>
  </si>
  <si>
    <t xml:space="preserve">0,8 – 1,04 SM</t>
  </si>
  <si>
    <t xml:space="preserve">0,96 – 1,15 SR</t>
  </si>
  <si>
    <t xml:space="preserve">0,6 – 1,5 KL</t>
  </si>
  <si>
    <t xml:space="preserve">K</t>
  </si>
  <si>
    <t xml:space="preserve">3,7 – 5,2 KK</t>
  </si>
  <si>
    <t xml:space="preserve">Orange</t>
  </si>
  <si>
    <t xml:space="preserve">0,45 – 0,8 SM</t>
  </si>
  <si>
    <t xml:space="preserve">0,7 – 0,96 SR</t>
  </si>
  <si>
    <t xml:space="preserve">0,08 – 0,6 KL</t>
  </si>
  <si>
    <t xml:space="preserve">M</t>
  </si>
  <si>
    <t xml:space="preserve">2,4 – 3,7 KK</t>
  </si>
  <si>
    <t xml:space="preserve">Red</t>
  </si>
  <si>
    <t xml:space="preserve">0,008 – 0,45 SM</t>
  </si>
  <si>
    <t xml:space="preserve">0,2 – 0,7 SR</t>
  </si>
  <si>
    <t xml:space="preserve">0,001 – 0,08 KL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</si>
</sst>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0000%"/>
    <numFmt numFmtId="166" formatCode="0.00%"/>
    <numFmt numFmtId="167" formatCode="#,##0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name val="Courier 10 Pitch"/>
      <family val="0"/>
      <charset val="1"/>
    </font>
  </fonts>
  <fills count="6">
    <fill>
      <patternFill patternType="none"/>
    </fill>
    <fill>
      <patternFill patternType="gray125"/>
    </fill>
    <fill>
      <patternFill patternType="solid">
        <fgColor rgb="FF999999"/>
        <bgColor rgb="FF808080"/>
      </patternFill>
    </fill>
    <fill>
      <patternFill patternType="solid">
        <fgColor rgb="FFFFFF00"/>
        <bgColor rgb="FFFFFF00"/>
      </patternFill>
    </fill>
    <fill>
      <patternFill patternType="solid">
        <fgColor rgb="FF99FF66"/>
        <bgColor rgb="FF99FFFF"/>
      </patternFill>
    </fill>
    <fill>
      <patternFill patternType="solid">
        <fgColor rgb="FF99FFFF"/>
        <bgColor rgb="FFCCFFFF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dotted"/>
      <right style="dotted"/>
      <top style="dotted"/>
      <bottom style="dotted"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3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3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4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5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99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99FF66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99999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H18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C6" activeCellId="0" sqref="C6"/>
    </sheetView>
  </sheetViews>
  <sheetFormatPr defaultRowHeight="12.8"/>
  <cols>
    <col collapsed="false" hidden="false" max="1" min="1" style="0" width="14.0765306122449"/>
    <col collapsed="false" hidden="false" max="2" min="2" style="0" width="12.6785714285714"/>
    <col collapsed="false" hidden="false" max="3" min="3" style="0" width="15.4591836734694"/>
    <col collapsed="false" hidden="false" max="4" min="4" style="0" width="26.5765306122449"/>
    <col collapsed="false" hidden="false" max="5" min="5" style="0" width="29.3571428571429"/>
    <col collapsed="false" hidden="false" max="7" min="6" style="0" width="30.6173469387755"/>
    <col collapsed="false" hidden="false" max="1025" min="8" style="0" width="11.5204081632653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customFormat="false" ht="12.8" hidden="false" customHeight="false" outlineLevel="0" collapsed="false">
      <c r="A2" s="2" t="s">
        <v>7</v>
      </c>
      <c r="B2" s="2" t="s">
        <v>8</v>
      </c>
      <c r="C2" s="2" t="s">
        <v>9</v>
      </c>
      <c r="D2" s="2" t="s">
        <v>10</v>
      </c>
      <c r="E2" s="2" t="s">
        <v>11</v>
      </c>
      <c r="F2" s="2" t="s">
        <v>12</v>
      </c>
      <c r="G2" s="3" t="n">
        <v>3E-007</v>
      </c>
    </row>
    <row r="3" customFormat="false" ht="12.8" hidden="false" customHeight="false" outlineLevel="0" collapsed="false">
      <c r="A3" s="2" t="s">
        <v>13</v>
      </c>
      <c r="B3" s="2" t="s">
        <v>14</v>
      </c>
      <c r="C3" s="2" t="s">
        <v>15</v>
      </c>
      <c r="D3" s="2" t="s">
        <v>16</v>
      </c>
      <c r="E3" s="2" t="s">
        <v>17</v>
      </c>
      <c r="F3" s="2" t="s">
        <v>18</v>
      </c>
      <c r="G3" s="4" t="n">
        <v>0.0013</v>
      </c>
    </row>
    <row r="4" customFormat="false" ht="12.8" hidden="false" customHeight="false" outlineLevel="0" collapsed="false">
      <c r="A4" s="2" t="s">
        <v>19</v>
      </c>
      <c r="B4" s="2" t="s">
        <v>20</v>
      </c>
      <c r="C4" s="2" t="s">
        <v>21</v>
      </c>
      <c r="D4" s="2" t="s">
        <v>22</v>
      </c>
      <c r="E4" s="2" t="s">
        <v>23</v>
      </c>
      <c r="F4" s="2" t="s">
        <v>24</v>
      </c>
      <c r="G4" s="4" t="n">
        <v>0.006</v>
      </c>
    </row>
    <row r="5" customFormat="false" ht="12.8" hidden="false" customHeight="false" outlineLevel="0" collapsed="false">
      <c r="A5" s="2" t="s">
        <v>25</v>
      </c>
      <c r="B5" s="2" t="s">
        <v>26</v>
      </c>
      <c r="C5" s="2" t="s">
        <v>27</v>
      </c>
      <c r="D5" s="2" t="s">
        <v>28</v>
      </c>
      <c r="E5" s="2" t="s">
        <v>29</v>
      </c>
      <c r="F5" s="2" t="s">
        <v>30</v>
      </c>
      <c r="G5" s="4" t="n">
        <v>0.03</v>
      </c>
    </row>
    <row r="6" customFormat="false" ht="12.8" hidden="false" customHeight="false" outlineLevel="0" collapsed="false">
      <c r="A6" s="5" t="s">
        <v>31</v>
      </c>
      <c r="B6" s="5" t="s">
        <v>32</v>
      </c>
      <c r="C6" s="5" t="s">
        <v>33</v>
      </c>
      <c r="D6" s="5" t="s">
        <v>34</v>
      </c>
      <c r="E6" s="5" t="s">
        <v>35</v>
      </c>
      <c r="F6" s="5" t="s">
        <v>36</v>
      </c>
      <c r="G6" s="6" t="n">
        <v>0.076</v>
      </c>
    </row>
    <row r="7" customFormat="false" ht="12.8" hidden="false" customHeight="false" outlineLevel="0" collapsed="false">
      <c r="A7" s="7" t="s">
        <v>37</v>
      </c>
      <c r="B7" s="7" t="s">
        <v>38</v>
      </c>
      <c r="C7" s="7" t="s">
        <v>39</v>
      </c>
      <c r="D7" s="7" t="s">
        <v>40</v>
      </c>
      <c r="E7" s="7" t="s">
        <v>41</v>
      </c>
      <c r="F7" s="7" t="s">
        <v>42</v>
      </c>
      <c r="G7" s="8" t="n">
        <v>0.121</v>
      </c>
    </row>
    <row r="8" customFormat="false" ht="12.8" hidden="false" customHeight="false" outlineLevel="0" collapsed="false">
      <c r="A8" s="7" t="s">
        <v>43</v>
      </c>
      <c r="B8" s="7" t="s">
        <v>44</v>
      </c>
      <c r="C8" s="7" t="s">
        <v>45</v>
      </c>
      <c r="D8" s="7" t="s">
        <v>46</v>
      </c>
      <c r="E8" s="7" t="s">
        <v>47</v>
      </c>
      <c r="F8" s="7" t="s">
        <v>48</v>
      </c>
      <c r="G8" s="8" t="n">
        <v>0.7645</v>
      </c>
    </row>
    <row r="11" customFormat="false" ht="12.8" hidden="false" customHeight="false" outlineLevel="0" collapsed="false">
      <c r="F11" s="9" t="n">
        <v>10000000</v>
      </c>
    </row>
    <row r="12" customFormat="false" ht="12.8" hidden="false" customHeight="false" outlineLevel="0" collapsed="false">
      <c r="E12" s="0" t="n">
        <v>3E-005</v>
      </c>
      <c r="F12" s="9" t="n">
        <f aca="false">(E12/100)*$F$11</f>
        <v>3</v>
      </c>
      <c r="G12" s="9" t="n">
        <f aca="false">F11-F12-1</f>
        <v>9999996</v>
      </c>
      <c r="H12" s="2" t="s">
        <v>7</v>
      </c>
    </row>
    <row r="13" customFormat="false" ht="12.8" hidden="false" customHeight="false" outlineLevel="0" collapsed="false">
      <c r="E13" s="0" t="n">
        <v>0.13</v>
      </c>
      <c r="F13" s="9" t="n">
        <f aca="false">(E13/100)*$F$11</f>
        <v>13000</v>
      </c>
      <c r="G13" s="9" t="n">
        <f aca="false">G12-F13-1</f>
        <v>9986995</v>
      </c>
      <c r="H13" s="2" t="s">
        <v>13</v>
      </c>
    </row>
    <row r="14" customFormat="false" ht="12.8" hidden="false" customHeight="false" outlineLevel="0" collapsed="false">
      <c r="E14" s="0" t="n">
        <v>0.6</v>
      </c>
      <c r="F14" s="9" t="n">
        <f aca="false">(E14/100)*$F$11</f>
        <v>60000</v>
      </c>
      <c r="G14" s="9" t="n">
        <f aca="false">G13-F14</f>
        <v>9926995</v>
      </c>
      <c r="H14" s="2" t="s">
        <v>19</v>
      </c>
    </row>
    <row r="15" customFormat="false" ht="12.8" hidden="false" customHeight="false" outlineLevel="0" collapsed="false">
      <c r="E15" s="0" t="n">
        <v>3</v>
      </c>
      <c r="F15" s="9" t="n">
        <f aca="false">(E15/100)*$F$11</f>
        <v>300000</v>
      </c>
      <c r="G15" s="9" t="n">
        <f aca="false">G14-F15</f>
        <v>9626995</v>
      </c>
      <c r="H15" s="2" t="s">
        <v>25</v>
      </c>
    </row>
    <row r="16" customFormat="false" ht="12.8" hidden="false" customHeight="false" outlineLevel="0" collapsed="false">
      <c r="E16" s="0" t="n">
        <v>7.6</v>
      </c>
      <c r="F16" s="9" t="n">
        <f aca="false">(E16/100)*$F$11</f>
        <v>760000</v>
      </c>
      <c r="G16" s="9" t="n">
        <f aca="false">G15-F16</f>
        <v>8866995</v>
      </c>
      <c r="H16" s="5" t="s">
        <v>31</v>
      </c>
    </row>
    <row r="17" customFormat="false" ht="12.8" hidden="false" customHeight="false" outlineLevel="0" collapsed="false">
      <c r="E17" s="0" t="n">
        <v>12.1</v>
      </c>
      <c r="F17" s="9" t="n">
        <f aca="false">(E17/100)*$F$11</f>
        <v>1210000</v>
      </c>
      <c r="G17" s="9" t="n">
        <f aca="false">G16-F17</f>
        <v>7656995</v>
      </c>
      <c r="H17" s="7" t="s">
        <v>37</v>
      </c>
    </row>
    <row r="18" customFormat="false" ht="12.8" hidden="false" customHeight="false" outlineLevel="0" collapsed="false">
      <c r="E18" s="0" t="n">
        <v>76.45</v>
      </c>
      <c r="F18" s="9" t="n">
        <f aca="false">(E18/100)*$F$11</f>
        <v>7645000</v>
      </c>
      <c r="G18" s="9" t="n">
        <f aca="false">G17-F18</f>
        <v>11994.9999999991</v>
      </c>
      <c r="H18" s="7" t="s">
        <v>43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Roman,Általános"&amp;12&amp;A</oddHeader>
    <oddFooter>&amp;C&amp;"Times New Roman,Általános"&amp;12Oldal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8"/>
  <cols>
    <col collapsed="false" hidden="false" max="1025" min="1" style="0" width="11.5204081632653"/>
  </cols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Roman,Általános"&amp;12&amp;A</oddHeader>
    <oddFooter>&amp;C&amp;"Times New Roman,Általános"&amp;12Oldal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8"/>
  <cols>
    <col collapsed="false" hidden="false" max="1025" min="1" style="0" width="11.5204081632653"/>
  </cols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Roman,Általános"&amp;12&amp;A</oddHeader>
    <oddFooter>&amp;C&amp;"Times New Roman,Általános"&amp;12Oldal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8"/>
  <cols>
    <col collapsed="false" hidden="false" max="1025" min="1" style="0" width="11.5204081632653"/>
  </cols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Roman,Általános"&amp;12&amp;A</oddHeader>
    <oddFooter>&amp;C&amp;"Times New Roman,Általános"&amp;12Oldal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8"/>
  <cols>
    <col collapsed="false" hidden="false" max="1025" min="1" style="0" width="11.5204081632653"/>
  </cols>
  <sheetData/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Roman,Általános"&amp;12&amp;A</oddHeader>
    <oddFooter>&amp;C&amp;"Times New Roman,Általános"&amp;12Oldal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54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2017-09-03T15:23:05Z</dcterms:created>
  <dc:creator/>
  <dc:description/>
  <dc:language>hu-HU</dc:language>
  <cp:lastModifiedBy/>
  <dcterms:modified xsi:type="dcterms:W3CDTF">2017-09-03T16:38:46Z</dcterms:modified>
  <cp:revision>19</cp:revision>
  <dc:subject/>
  <dc:title/>
</cp:coreProperties>
</file>
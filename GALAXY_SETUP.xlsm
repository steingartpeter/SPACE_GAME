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989"/>
  </bookViews>
  <sheets>
    <sheet name="STARS" sheetId="1" r:id="rId1"/>
    <sheet name="Munkalap2" sheetId="2" r:id="rId2"/>
    <sheet name="Munkalap3" sheetId="3" r:id="rId3"/>
    <sheet name="Munkalap4" sheetId="4" r:id="rId4"/>
    <sheet name="Munkalap5" sheetId="5" r:id="rId5"/>
  </sheets>
  <functionGroups builtInGroupCount="17"/>
  <calcPr calcId="14562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K10" i="1" l="1"/>
  <c r="L5" i="1"/>
  <c r="L6" i="1"/>
  <c r="L7" i="1"/>
  <c r="L8" i="1"/>
  <c r="L9" i="1"/>
  <c r="L4" i="1"/>
  <c r="H4" i="1" l="1"/>
  <c r="H5" i="1"/>
  <c r="H6" i="1"/>
  <c r="H7" i="1"/>
  <c r="H8" i="1"/>
  <c r="H3" i="1"/>
  <c r="H2" i="1"/>
  <c r="F18" i="1"/>
  <c r="F17" i="1"/>
  <c r="F16" i="1"/>
  <c r="F15" i="1"/>
  <c r="F14" i="1"/>
  <c r="F13" i="1"/>
  <c r="F12" i="1"/>
  <c r="G12" i="1" s="1"/>
  <c r="G13" i="1" s="1"/>
  <c r="G14" i="1" s="1"/>
  <c r="G15" i="1" s="1"/>
  <c r="G16" i="1" s="1"/>
  <c r="G17" i="1" s="1"/>
  <c r="G18" i="1" s="1"/>
</calcChain>
</file>

<file path=xl/sharedStrings.xml><?xml version="1.0" encoding="utf-8"?>
<sst xmlns="http://schemas.openxmlformats.org/spreadsheetml/2006/main" count="62" uniqueCount="49">
  <si>
    <t>STAR_TYPE</t>
  </si>
  <si>
    <t>EFF_TEMP</t>
  </si>
  <si>
    <t>CHROMACITY</t>
  </si>
  <si>
    <t>MASS (in sol mass)</t>
  </si>
  <si>
    <t>Radius (in sol.rad.)</t>
  </si>
  <si>
    <t>Luminosity</t>
  </si>
  <si>
    <t>FREQUENCY</t>
  </si>
  <si>
    <t>O</t>
  </si>
  <si>
    <t>30 – 65 KK</t>
  </si>
  <si>
    <t>Blue</t>
  </si>
  <si>
    <t>16 – 30 SM</t>
  </si>
  <si>
    <t>6,6 – 12,5 SR</t>
  </si>
  <si>
    <t>30 – 60 KL</t>
  </si>
  <si>
    <t>B</t>
  </si>
  <si>
    <t>10 – 30 KK</t>
  </si>
  <si>
    <t>Deep blue white</t>
  </si>
  <si>
    <t>2,1 – 16 SM</t>
  </si>
  <si>
    <t>1,8 – 6,6 SM</t>
  </si>
  <si>
    <t>25 – 30 KL</t>
  </si>
  <si>
    <t>A</t>
  </si>
  <si>
    <t>7,5 – 10 KK</t>
  </si>
  <si>
    <t>Blue white</t>
  </si>
  <si>
    <t>1,4 – 2,1 SM</t>
  </si>
  <si>
    <t>1,4 – 1,8 SR</t>
  </si>
  <si>
    <t>5 – 25 KL</t>
  </si>
  <si>
    <t>F</t>
  </si>
  <si>
    <t>6 – 7,5 KK</t>
  </si>
  <si>
    <t>White</t>
  </si>
  <si>
    <t>1,04 – 1,4 SM</t>
  </si>
  <si>
    <t>1,15 – 1,4 SR</t>
  </si>
  <si>
    <t>1,5 – 5 KL</t>
  </si>
  <si>
    <t>G</t>
  </si>
  <si>
    <t>5,2 – 6 KK</t>
  </si>
  <si>
    <t>Yellow</t>
  </si>
  <si>
    <t>0,8 – 1,04 SM</t>
  </si>
  <si>
    <t>0,96 – 1,15 SR</t>
  </si>
  <si>
    <t>0,6 – 1,5 KL</t>
  </si>
  <si>
    <t>K</t>
  </si>
  <si>
    <t>3,7 – 5,2 KK</t>
  </si>
  <si>
    <t>Orange</t>
  </si>
  <si>
    <t>0,45 – 0,8 SM</t>
  </si>
  <si>
    <t>0,7 – 0,96 SR</t>
  </si>
  <si>
    <t>0,08 – 0,6 KL</t>
  </si>
  <si>
    <t>M</t>
  </si>
  <si>
    <t>2,4 – 3,7 KK</t>
  </si>
  <si>
    <t>Red</t>
  </si>
  <si>
    <t>0,008 – 0,45 SM</t>
  </si>
  <si>
    <t>0,2 – 0,7 SR</t>
  </si>
  <si>
    <t>0,001 – 0,08 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</si>
</sst>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%"/>
    <numFmt numFmtId="170" formatCode="0.000%"/>
  </numFmts>
  <fonts count="3">
    <font>
      <sz val="10"/>
      <name val="Arial"/>
      <family val="2"/>
    </font>
    <font>
      <b/>
      <sz val="12"/>
      <name val="Courier 10 Pitch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FFFF00"/>
        <bgColor rgb="FFFFFF00"/>
      </patternFill>
    </fill>
    <fill>
      <patternFill patternType="solid">
        <fgColor rgb="FF99FF66"/>
        <bgColor rgb="FF99FFFF"/>
      </patternFill>
    </fill>
    <fill>
      <patternFill patternType="solid">
        <fgColor rgb="FF99FFFF"/>
        <bgColor rgb="FFCCFFFF"/>
      </patternFill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2" xfId="0" applyFont="1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2" xfId="0" applyFont="1" applyFill="1" applyBorder="1"/>
    <xf numFmtId="10" fontId="0" fillId="4" borderId="2" xfId="0" applyNumberFormat="1" applyFill="1" applyBorder="1"/>
    <xf numFmtId="0" fontId="0" fillId="5" borderId="2" xfId="0" applyFont="1" applyFill="1" applyBorder="1"/>
    <xf numFmtId="10" fontId="0" fillId="5" borderId="2" xfId="0" applyNumberFormat="1" applyFill="1" applyBorder="1"/>
    <xf numFmtId="3" fontId="0" fillId="0" borderId="0" xfId="0" applyNumberFormat="1"/>
    <xf numFmtId="0" fontId="0" fillId="0" borderId="0" xfId="0" applyAlignment="1">
      <alignment vertical="center" wrapText="1"/>
    </xf>
    <xf numFmtId="170" fontId="0" fillId="0" borderId="0" xfId="1" applyNumberFormat="1" applyFont="1"/>
  </cellXfs>
  <cellStyles count="2">
    <cellStyle name="Normál" xfId="0" builtinId="0"/>
    <cellStyle name="Százalék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L18"/>
  <sheetViews>
    <sheetView tabSelected="1" zoomScaleNormal="100" workbookViewId="0">
      <selection activeCell="J4" sqref="J4:L9"/>
    </sheetView>
  </sheetViews>
  <sheetFormatPr defaultRowHeight="12.75"/>
  <cols>
    <col min="1" max="1" width="14.140625"/>
    <col min="2" max="2" width="12.7109375"/>
    <col min="3" max="3" width="15.42578125"/>
    <col min="4" max="4" width="26.5703125"/>
    <col min="5" max="5" width="29.28515625"/>
    <col min="6" max="7" width="30.5703125"/>
    <col min="8" max="8" width="14.28515625" bestFit="1" customWidth="1"/>
    <col min="9" max="1025" width="11.5703125"/>
  </cols>
  <sheetData>
    <row r="1" spans="1:12" ht="15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12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3">
        <v>2.9999999999999999E-7</v>
      </c>
      <c r="H2" t="str">
        <f>"'"&amp;" - "&amp; A2&amp;": "&amp; TEXT(G2,"0.00000%")</f>
        <v>' - O: 0.00003%</v>
      </c>
    </row>
    <row r="3" spans="1:12">
      <c r="A3" s="2" t="s">
        <v>13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18</v>
      </c>
      <c r="G3" s="4">
        <v>1.2999999999999999E-3</v>
      </c>
      <c r="H3" t="str">
        <f>"'"&amp;" - "&amp; A3&amp;": "&amp; TEXT(G3,"0.00%")</f>
        <v>' - B: 0.13%</v>
      </c>
    </row>
    <row r="4" spans="1:12">
      <c r="A4" s="2" t="s">
        <v>19</v>
      </c>
      <c r="B4" s="2" t="s">
        <v>20</v>
      </c>
      <c r="C4" s="2" t="s">
        <v>21</v>
      </c>
      <c r="D4" s="2" t="s">
        <v>22</v>
      </c>
      <c r="E4" s="2" t="s">
        <v>23</v>
      </c>
      <c r="F4" s="2" t="s">
        <v>24</v>
      </c>
      <c r="G4" s="4">
        <v>6.0000000000000001E-3</v>
      </c>
      <c r="H4" t="str">
        <f t="shared" ref="H4:H8" si="0">"'"&amp;" - "&amp; A4&amp;": "&amp; TEXT(G4,"0.00%")</f>
        <v>' - A: 0.60%</v>
      </c>
      <c r="J4" s="10" t="s">
        <v>19</v>
      </c>
      <c r="K4" s="10">
        <v>6465</v>
      </c>
      <c r="L4" s="11">
        <f>K4/SUM($K$4:$K$9)</f>
        <v>5.8772139551331757E-3</v>
      </c>
    </row>
    <row r="5" spans="1:12">
      <c r="A5" s="2" t="s">
        <v>25</v>
      </c>
      <c r="B5" s="2" t="s">
        <v>26</v>
      </c>
      <c r="C5" s="2" t="s">
        <v>27</v>
      </c>
      <c r="D5" s="2" t="s">
        <v>28</v>
      </c>
      <c r="E5" s="2" t="s">
        <v>29</v>
      </c>
      <c r="F5" s="2" t="s">
        <v>30</v>
      </c>
      <c r="G5" s="4">
        <v>0.03</v>
      </c>
      <c r="H5" t="str">
        <f t="shared" si="0"/>
        <v>' - F: 3.00%</v>
      </c>
      <c r="J5" s="10" t="s">
        <v>13</v>
      </c>
      <c r="K5" s="10">
        <v>1375</v>
      </c>
      <c r="L5" s="11">
        <f t="shared" ref="L5:L9" si="1">K5/SUM($K$4:$K$9)</f>
        <v>1.2499875001249989E-3</v>
      </c>
    </row>
    <row r="6" spans="1:12">
      <c r="A6" s="5" t="s">
        <v>31</v>
      </c>
      <c r="B6" s="5" t="s">
        <v>32</v>
      </c>
      <c r="C6" s="5" t="s">
        <v>33</v>
      </c>
      <c r="D6" s="5" t="s">
        <v>34</v>
      </c>
      <c r="E6" s="5" t="s">
        <v>35</v>
      </c>
      <c r="F6" s="5" t="s">
        <v>36</v>
      </c>
      <c r="G6" s="6">
        <v>7.5999999999999998E-2</v>
      </c>
      <c r="H6" t="str">
        <f t="shared" si="0"/>
        <v>' - G: 7.60%</v>
      </c>
      <c r="J6" s="10" t="s">
        <v>25</v>
      </c>
      <c r="K6" s="10">
        <v>33077</v>
      </c>
      <c r="L6" s="11">
        <f t="shared" si="1"/>
        <v>3.0069699303006969E-2</v>
      </c>
    </row>
    <row r="7" spans="1:12">
      <c r="A7" s="7" t="s">
        <v>37</v>
      </c>
      <c r="B7" s="7" t="s">
        <v>38</v>
      </c>
      <c r="C7" s="7" t="s">
        <v>39</v>
      </c>
      <c r="D7" s="7" t="s">
        <v>40</v>
      </c>
      <c r="E7" s="7" t="s">
        <v>41</v>
      </c>
      <c r="F7" s="7" t="s">
        <v>42</v>
      </c>
      <c r="G7" s="8">
        <v>0.121</v>
      </c>
      <c r="H7" t="str">
        <f t="shared" si="0"/>
        <v>' - K: 12.10%</v>
      </c>
      <c r="J7" s="10" t="s">
        <v>31</v>
      </c>
      <c r="K7" s="10">
        <v>83601</v>
      </c>
      <c r="L7" s="11">
        <f t="shared" si="1"/>
        <v>7.6000149089418198E-2</v>
      </c>
    </row>
    <row r="8" spans="1:12">
      <c r="A8" s="7" t="s">
        <v>43</v>
      </c>
      <c r="B8" s="7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8">
        <v>0.76449999999999996</v>
      </c>
      <c r="H8" t="str">
        <f t="shared" si="0"/>
        <v>' - M: 76.45%</v>
      </c>
      <c r="J8" s="10" t="s">
        <v>37</v>
      </c>
      <c r="K8" s="10">
        <v>132565</v>
      </c>
      <c r="L8" s="11">
        <f t="shared" si="1"/>
        <v>0.12051243123932397</v>
      </c>
    </row>
    <row r="9" spans="1:12">
      <c r="J9" s="10" t="s">
        <v>43</v>
      </c>
      <c r="K9" s="10">
        <v>842928</v>
      </c>
      <c r="L9" s="11">
        <f t="shared" si="1"/>
        <v>0.76629051891299271</v>
      </c>
    </row>
    <row r="10" spans="1:12">
      <c r="K10">
        <f>SUM(K4:K9)</f>
        <v>1100011</v>
      </c>
    </row>
    <row r="11" spans="1:12">
      <c r="F11" s="9">
        <v>10000000</v>
      </c>
    </row>
    <row r="12" spans="1:12">
      <c r="E12">
        <v>3.0000000000000001E-5</v>
      </c>
      <c r="F12" s="9">
        <f t="shared" ref="F12:F18" si="2">(E12/100)*$F$11</f>
        <v>3</v>
      </c>
      <c r="G12" s="9">
        <f>F11-F12-1</f>
        <v>9999996</v>
      </c>
      <c r="H12" s="2" t="s">
        <v>7</v>
      </c>
    </row>
    <row r="13" spans="1:12">
      <c r="E13">
        <v>0.13</v>
      </c>
      <c r="F13" s="9">
        <f t="shared" si="2"/>
        <v>13000</v>
      </c>
      <c r="G13" s="9">
        <f>G12-F13-1</f>
        <v>9986995</v>
      </c>
      <c r="H13" s="2" t="s">
        <v>13</v>
      </c>
    </row>
    <row r="14" spans="1:12">
      <c r="E14">
        <v>0.6</v>
      </c>
      <c r="F14" s="9">
        <f t="shared" si="2"/>
        <v>60000</v>
      </c>
      <c r="G14" s="9">
        <f>G13-F14</f>
        <v>9926995</v>
      </c>
      <c r="H14" s="2" t="s">
        <v>19</v>
      </c>
    </row>
    <row r="15" spans="1:12">
      <c r="E15">
        <v>3</v>
      </c>
      <c r="F15" s="9">
        <f t="shared" si="2"/>
        <v>300000</v>
      </c>
      <c r="G15" s="9">
        <f>G14-F15</f>
        <v>9626995</v>
      </c>
      <c r="H15" s="2" t="s">
        <v>25</v>
      </c>
    </row>
    <row r="16" spans="1:12">
      <c r="E16">
        <v>7.6</v>
      </c>
      <c r="F16" s="9">
        <f t="shared" si="2"/>
        <v>760000</v>
      </c>
      <c r="G16" s="9">
        <f>G15-F16</f>
        <v>8866995</v>
      </c>
      <c r="H16" s="5" t="s">
        <v>31</v>
      </c>
    </row>
    <row r="17" spans="5:8">
      <c r="E17">
        <v>12.1</v>
      </c>
      <c r="F17" s="9">
        <f t="shared" si="2"/>
        <v>1210000</v>
      </c>
      <c r="G17" s="9">
        <f>G16-F17</f>
        <v>7656995</v>
      </c>
      <c r="H17" s="7" t="s">
        <v>37</v>
      </c>
    </row>
    <row r="18" spans="5:8">
      <c r="E18">
        <v>76.45</v>
      </c>
      <c r="F18" s="9">
        <f t="shared" si="2"/>
        <v>7645000.0000000009</v>
      </c>
      <c r="G18" s="9">
        <f>G17-F18</f>
        <v>11994.999999999069</v>
      </c>
      <c r="H18" s="7" t="s">
        <v>43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Roman,Általános"&amp;12&amp;A</oddHeader>
    <oddFooter>&amp;C&amp;"Times New Roman,Általános"&amp;12Oldal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"/>
  <sheetViews>
    <sheetView zoomScaleNormal="100" workbookViewId="0"/>
  </sheetViews>
  <sheetFormatPr defaultRowHeight="12.75"/>
  <cols>
    <col min="1" max="1025" width="11.5703125"/>
  </cols>
  <sheetData/>
  <pageMargins left="0.78749999999999998" right="0.78749999999999998" top="1.05277777777778" bottom="1.05277777777778" header="0.78749999999999998" footer="0.78749999999999998"/>
  <headerFooter>
    <oddHeader>&amp;C&amp;"Times New Roman,Általános"&amp;12&amp;A</oddHeader>
    <oddFooter>&amp;C&amp;"Times New Roman,Általános"&amp;12Oldal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STARS</vt:lpstr>
      <vt:lpstr>Munkalap2</vt:lpstr>
      <vt:lpstr>Munkalap3</vt:lpstr>
      <vt:lpstr>Munkalap4</vt:lpstr>
      <vt:lpstr>Munkalap5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Balise Pascal</cp:lastModifiedBy>
  <cp:revision>19</cp:revision>
  <dcterms:created xsi:type="dcterms:W3CDTF">2017-09-03T15:23:05Z</dcterms:created>
  <dcterms:modified xsi:type="dcterms:W3CDTF">2017-09-05T18:14:22Z</dcterms:modified>
  <dc:language>hu-HU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317df03a-ed29-4f1f-9714-b28852553332</vt:lpwstr>
  </property>
</Properties>
</file>